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Infoplazas\Documents\Proyecto Forestando Juntos\"/>
    </mc:Choice>
  </mc:AlternateContent>
  <xr:revisionPtr revIDLastSave="0" documentId="13_ncr:1_{717B1570-BF6F-49B1-8021-595A4CE8DAD8}" xr6:coauthVersionLast="47" xr6:coauthVersionMax="47" xr10:uidLastSave="{00000000-0000-0000-0000-000000000000}"/>
  <bookViews>
    <workbookView xWindow="-108" yWindow="-108" windowWidth="23256" windowHeight="13896" xr2:uid="{00000000-000D-0000-FFFF-FFFF00000000}"/>
  </bookViews>
  <sheets>
    <sheet name="Siembras" sheetId="1" r:id="rId1"/>
    <sheet name="Web"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8" i="2" l="1"/>
  <c r="A17" i="2"/>
  <c r="A16" i="2"/>
  <c r="A15" i="2"/>
  <c r="A14" i="2"/>
  <c r="A13" i="2"/>
  <c r="A12" i="2"/>
  <c r="A11" i="2"/>
  <c r="A10" i="2"/>
  <c r="A9" i="2"/>
  <c r="A8" i="2"/>
  <c r="A7" i="2"/>
  <c r="A6" i="2"/>
  <c r="A5" i="2"/>
  <c r="F4" i="2"/>
  <c r="E4" i="2"/>
  <c r="D4" i="2"/>
  <c r="C4" i="2"/>
  <c r="B4" i="2"/>
  <c r="A4" i="2"/>
  <c r="F3" i="2"/>
  <c r="E3" i="2"/>
  <c r="D3" i="2"/>
  <c r="C3" i="2"/>
  <c r="B3" i="2"/>
  <c r="A3" i="2"/>
  <c r="G2" i="2"/>
  <c r="F2" i="2"/>
  <c r="E2" i="2"/>
  <c r="D2" i="2"/>
  <c r="C2" i="2"/>
  <c r="B2" i="2"/>
  <c r="A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N7" authorId="0" shapeId="0" xr:uid="{00000000-0006-0000-0000-000001000000}">
      <text>
        <r>
          <rPr>
            <sz val="10"/>
            <color rgb="FF000000"/>
            <rFont val="Arial"/>
            <scheme val="minor"/>
          </rPr>
          <t>La persona que ha respondido ha actualizado este valor.</t>
        </r>
      </text>
    </comment>
  </commentList>
</comments>
</file>

<file path=xl/sharedStrings.xml><?xml version="1.0" encoding="utf-8"?>
<sst xmlns="http://schemas.openxmlformats.org/spreadsheetml/2006/main" count="216" uniqueCount="126">
  <si>
    <t>Marca temporal</t>
  </si>
  <si>
    <t>Nombre del Forestador</t>
  </si>
  <si>
    <t>Dirección de correo electrónico</t>
  </si>
  <si>
    <t>Nombre Completo</t>
  </si>
  <si>
    <t>Sede</t>
  </si>
  <si>
    <t>Rol del sembrador</t>
  </si>
  <si>
    <t>Programa</t>
  </si>
  <si>
    <t>Grupo</t>
  </si>
  <si>
    <t>Provincia / Comarca</t>
  </si>
  <si>
    <t>Fecha de la siembra</t>
  </si>
  <si>
    <t>Rol en la OTEIMA</t>
  </si>
  <si>
    <t>Ubicación de la Siembra</t>
  </si>
  <si>
    <t>Coordenadas de la siembra</t>
  </si>
  <si>
    <t>Tipo de Árbol</t>
  </si>
  <si>
    <t>Nombre científico del Árbol</t>
  </si>
  <si>
    <t>Descripción del Árbol</t>
  </si>
  <si>
    <t>Foto del Árbol sembrado</t>
  </si>
  <si>
    <t>Cédula</t>
  </si>
  <si>
    <t>Email</t>
  </si>
  <si>
    <t>Imagen</t>
  </si>
  <si>
    <t>domingo.vega@oteima.ac.pa</t>
  </si>
  <si>
    <t>Domingo Vega Vega</t>
  </si>
  <si>
    <t>Santiago</t>
  </si>
  <si>
    <t>Estudiante</t>
  </si>
  <si>
    <t>Licenciatura en Informática con Énfasis en Redes y Telecomunicaciones</t>
  </si>
  <si>
    <t>0222</t>
  </si>
  <si>
    <t>Herrera</t>
  </si>
  <si>
    <t>Ocú, Peñas Chatas, Paso Laja</t>
  </si>
  <si>
    <t>8.016322, -80.817181
8º0'58"N, 80º49'1"W
17 N  520145.36  886106.77
17P  NJ 20146 86107</t>
  </si>
  <si>
    <t>Guayacán morado</t>
  </si>
  <si>
    <t>Handroanthus impetiginosus</t>
  </si>
  <si>
    <t>Es un árbol nativo de América tropical y es conocido por sus vistosas flores moradas.</t>
  </si>
  <si>
    <t>https://drive.google.com/open?id=1PBT6sagBs-OD8zHkv-dGMIHL0YUFIrcp</t>
  </si>
  <si>
    <t>6-719-2441</t>
  </si>
  <si>
    <t>En la web</t>
  </si>
  <si>
    <t>fernando.adames@oteima.ac.pa</t>
  </si>
  <si>
    <t>Fernando Camaño</t>
  </si>
  <si>
    <t>Técnico en Informática, Redes y Telecomunicaciones</t>
  </si>
  <si>
    <t>Veraguas</t>
  </si>
  <si>
    <t>Barriada la Esmeralda, corregimiento de Canto del Llano</t>
  </si>
  <si>
    <t>https://maps.apple.com/?ll=8.111931,-80.970868&amp;q=Marcador&amp;t=m</t>
  </si>
  <si>
    <t>Guayacán</t>
  </si>
  <si>
    <t>Guaiacum officinale</t>
  </si>
  <si>
    <t>Plantón pequeño</t>
  </si>
  <si>
    <t>https://drive.google.com/open?id=1VqyPSh1QuvN53CoUZVG_PwlpWd_8tkeg</t>
  </si>
  <si>
    <t>9-757-2446</t>
  </si>
  <si>
    <t>anthony.rodriguez@oteima.ac.pa</t>
  </si>
  <si>
    <t xml:space="preserve">Anthony Rodriguez </t>
  </si>
  <si>
    <t>Veraguas, Nuevo Santiago, San Antonio.</t>
  </si>
  <si>
    <t>https://www.google.com/maps/search/?api=1&amp;query=33JF%2B652++Santiago++Veraguas+Province++Panama</t>
  </si>
  <si>
    <t>Guayacán Morado</t>
  </si>
  <si>
    <t>Maculís</t>
  </si>
  <si>
    <t>Es un arbusto de 2 a 5 m de altura, presenta ramas gruesas y torcidas desde la base, con un diámetro del tronco de hasta 20 cm., de copa densa, apretada, perennifolio. Sus flores son pequeñas y violáceas. Sus frutos son cápsulas moradas, tiene numerosas semillas.</t>
  </si>
  <si>
    <t>https://drive.google.com/open?id=127loAtCKA4gZ7f0Tq6mBqZjwQpJnu3q5</t>
  </si>
  <si>
    <t>4-830-1297</t>
  </si>
  <si>
    <t>kevin.concepcion@oteima.ac.pa</t>
  </si>
  <si>
    <t>Kevin Elieser Concepción Rodríguez</t>
  </si>
  <si>
    <t>INF-0122 NOCTURNO</t>
  </si>
  <si>
    <t>La Honda, San Juan, San Francisco, Veraguas, Panamá</t>
  </si>
  <si>
    <t>8.322717898883392, -81.02702797286486</t>
  </si>
  <si>
    <t>Tabebuia rosea</t>
  </si>
  <si>
    <t xml:space="preserve"> Este árbol pertenece a la familia Bignoniaceae y es también llamado guayacán rosado, apamate, o ocobo. Es originario de América y se encuentra comúnmente en diversas regiones tropicales, como Colombia y otros países de América Central y del Sur.</t>
  </si>
  <si>
    <t>https://drive.google.com/open?id=1jDQt1GUHKcL2GTBtuJ35Ke7_pYHCb4yX</t>
  </si>
  <si>
    <t>9-762-2281</t>
  </si>
  <si>
    <t>fatima.escobar@oteima.ac.pa</t>
  </si>
  <si>
    <t xml:space="preserve">Fatima Escobar </t>
  </si>
  <si>
    <t>Nocturno_022</t>
  </si>
  <si>
    <t>Rio de Jesus, el cuartillo</t>
  </si>
  <si>
    <t>https://maps.app.goo.gl/kp9smGdMzPW4in4GA</t>
  </si>
  <si>
    <t xml:space="preserve">Guaiacum coulteri </t>
  </si>
  <si>
    <t>El guayacán es un árbol tropical conocido por su madera dura y sus flores vistosas.</t>
  </si>
  <si>
    <t>https://drive.google.com/open?id=1sxNKjTj9d-19iEbj3ZwtDA2ZW9Sgs5gc</t>
  </si>
  <si>
    <t>9-762-263</t>
  </si>
  <si>
    <t>corina.lara@oteima.ac.pa</t>
  </si>
  <si>
    <t xml:space="preserve">Corina Nicole Lara González </t>
  </si>
  <si>
    <t>Noct-0222</t>
  </si>
  <si>
    <t>Distrito de Santiago, corregimiento  Carlos Santana Ávila, lugar El Espino de Santa Rosa</t>
  </si>
  <si>
    <t>8.093288,-80.828315</t>
  </si>
  <si>
    <t>Tabebuia  Impetiginosa</t>
  </si>
  <si>
    <t>El guayacán es un árbol tropical conocido por su madera dura y sus flores vistosas. Aquí tienes algunas recomendaciones para su siembra:
1. Clima: El guayacán requiere un clima cálido y tropical. Idealmente, debe recibir pleno sol y estar en una región con temperaturas que no bajen de 10°C.
2. Suelo: Prefiere suelos bien drenados y ligeramente ácidos a neutros. Evita suelos arcillosos o que retengan demasiada agua, ya que esto puede llevar a problemas de raíz.
3. Preparación del Suelo: Asegúrate de preparar el suelo adecuadamente antes de plantar. Puedes mejorar el drenaje agregando arena o material orgánico.
4. Espaciado: Si plantas más de un árbol, asegúrate de dejarlos a una distancia adecuada, generalmente de 4 a 6 metros entre cada uno, para permitir un buen desarrollo.
5. Riego: Aunque el guayacán es bastante resistente a la sequía una vez establecido, asegúrate de regar bien durante el primer año para fomentar un buen crecimiento. Luego, el riego puede reducirse a medida que el árbol se aclimata.
6. Fertilización: Fertiliza el suelo con un abono balanceado durante la temporada de crecimiento para apoyar el desarrollo saludable del árbol.
7. Mantenimiento: Controla las plagas y enfermedades, y poda el árbol si es necesario para mantener su forma y salud.
Recuerda que el guayacán es un árbol de crecimiento lento, así que ten paciencia mientras se desarrolla.</t>
  </si>
  <si>
    <t>https://drive.google.com/open?id=1nINt8LsiABPTLUixwX2GBm9OZPtUnZXC</t>
  </si>
  <si>
    <t xml:space="preserve">9-758-1377 </t>
  </si>
  <si>
    <t>angie.milagros@oteima.ac.pa</t>
  </si>
  <si>
    <t>Angie Hidalgo</t>
  </si>
  <si>
    <t>0122</t>
  </si>
  <si>
    <t>Los Hatillos vía La Colorada, Santiago, Veraguas.</t>
  </si>
  <si>
    <t>https://maps.app.goo.gl/mk9DydETa3nkCP7B7</t>
  </si>
  <si>
    <t>Guayacan morado</t>
  </si>
  <si>
    <t xml:space="preserve"> Handroanthus impetiginosus</t>
  </si>
  <si>
    <t>El guayacán morado (Handroanthus impetiginosus) es un árbol majestuoso y emblemático de América Latina, conocido por su floración espectacular. En temporada, sus ramas se cubren de racimos de flores de un color púrpura intenso, creando un manto de tonos vibrantes que contrastan con el azul del cielo y el verdor de su follaje.</t>
  </si>
  <si>
    <t>https://drive.google.com/open?id=1_IWcuUYVDQ1s-9Uy24RSstWPW7EokfL8</t>
  </si>
  <si>
    <t>9-762-2343</t>
  </si>
  <si>
    <t>El guayacan morado, conocido por su hermosa floración de color violeta o morada. Durante la temporada seca, su copa se llena de vida con un manto de color que contrasta bellamente con el cielo despejado. El guayacán morado simboliza fuerza, resistencia y renovación. Su capacidad para florecer de manera espectacular en la temporada seca, cuando la mayoría de los árboles parecen inertes, lo convierte en un símbolo de perseverancia frente a la adversidad.</t>
  </si>
  <si>
    <t>https://drive.google.com/open?id=1LzK31KZMVSdFsdiTlsYsoRvuciLtjO6M</t>
  </si>
  <si>
    <t>https://drive.google.com/open?id=1iQSzL1Swm2EcGWvpPU_PHUWyCTXsd7IK</t>
  </si>
  <si>
    <t>liag70921@gmail.com</t>
  </si>
  <si>
    <t>Lia Milena González Pardo</t>
  </si>
  <si>
    <t>INFO-0123NOCTURNO</t>
  </si>
  <si>
    <t xml:space="preserve">San Francisco Distrito, Barrida El Rosario </t>
  </si>
  <si>
    <t xml:space="preserve">
8.24489° N, 80.98041° O</t>
  </si>
  <si>
    <t xml:space="preserve">Guayacán </t>
  </si>
  <si>
    <t>Handroanthus guayacan</t>
  </si>
  <si>
    <t xml:space="preserve">Árbol pequeño color verde de tamaño pequeño </t>
  </si>
  <si>
    <t>https://drive.google.com/open?id=1h8Vwe3I33Tsj4W_G5isH3eHGa5Omos0l</t>
  </si>
  <si>
    <t>9-765-2184</t>
  </si>
  <si>
    <t>fernando.barria@oteima.ac.pa</t>
  </si>
  <si>
    <t>Fernando Barría Cornejo</t>
  </si>
  <si>
    <t>Docente</t>
  </si>
  <si>
    <t>Cañazas, Visvalles, Alto de Los Sánchez</t>
  </si>
  <si>
    <t>https://maps.app.goo.gl/xyH7X3ajJXxSvQyk6</t>
  </si>
  <si>
    <t>Tabebuia impetiginosa</t>
  </si>
  <si>
    <t>Es un árbol de hasta 15 metros de altura, con una corteza grisácea y flores moradas en racimos que florecen en primavera. Su madera es dura y valiosa, y es apreciado por su belleza ornamental.</t>
  </si>
  <si>
    <t>https://drive.google.com/open?id=1TAFDv-tB8PbANZb2ohXq1rJZ4Ib7eEdI</t>
  </si>
  <si>
    <t>9-715-388</t>
  </si>
  <si>
    <t>Cañazas, Visvalles, Alto de Los Sanchez</t>
  </si>
  <si>
    <t>https://drive.google.com/open?id=1Q_o4vsgx3kw0BpJF2UhjQqevY-7ugR_X</t>
  </si>
  <si>
    <t>john.jordan@oteima.ac.pa</t>
  </si>
  <si>
    <t xml:space="preserve">John jordán </t>
  </si>
  <si>
    <t>0224</t>
  </si>
  <si>
    <t xml:space="preserve">Distrito Rio de Jesús </t>
  </si>
  <si>
    <t>Coordenadad
 7.9844805, -81.1622413</t>
  </si>
  <si>
    <t xml:space="preserve">Guayacá </t>
  </si>
  <si>
    <t>Guaiacum senctum</t>
  </si>
  <si>
    <t>El guayacán morado, científicamente conocido como Guaiacum sanctum, es un árbol nativo de América Central y el Caribe, famoso por su madera extremadamente dura y densa, así como por sus hermosas flores moradas</t>
  </si>
  <si>
    <t>https://drive.google.com/open?id=1s2JWF9oo-CkgZ7XSm5IDSS63fQIg10cg</t>
  </si>
  <si>
    <t xml:space="preserve">9-767-1065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</si>
</sst>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yyyy\ h:mm:ss"/>
    <numFmt numFmtId="165" formatCode="d/mm/yyyy"/>
  </numFmts>
  <fonts count="6" x14ac:knownFonts="1">
    <font>
      <sz val="10"/>
      <color rgb="FF000000"/>
      <name val="Arial"/>
      <scheme val="minor"/>
    </font>
    <font>
      <b/>
      <sz val="10"/>
      <color theme="1"/>
      <name val="Arial"/>
      <scheme val="minor"/>
    </font>
    <font>
      <b/>
      <sz val="10"/>
      <color rgb="FFFFFFFF"/>
      <name val="Arial"/>
      <scheme val="minor"/>
    </font>
    <font>
      <sz val="10"/>
      <color theme="1"/>
      <name val="Arial"/>
      <scheme val="minor"/>
    </font>
    <font>
      <u/>
      <sz val="10"/>
      <color rgb="FF0000FF"/>
      <name val="Arial"/>
    </font>
    <font>
      <u/>
      <sz val="10"/>
      <color rgb="FF0000FF"/>
      <name val="Arial"/>
    </font>
  </fonts>
  <fills count="3">
    <fill>
      <patternFill patternType="none"/>
    </fill>
    <fill>
      <patternFill patternType="gray125"/>
    </fill>
    <fill>
      <patternFill patternType="solid">
        <fgColor rgb="FF434343"/>
        <bgColor rgb="FF434343"/>
      </patternFill>
    </fill>
  </fills>
  <borders count="1">
    <border>
      <left/>
      <right/>
      <top/>
      <bottom/>
      <diagonal/>
    </border>
  </borders>
  <cellStyleXfs count="1">
    <xf numFmtId="0" fontId="0" fillId="0" borderId="0"/>
  </cellStyleXfs>
  <cellXfs count="11">
    <xf numFmtId="0" fontId="0" fillId="0" borderId="0" xfId="0"/>
    <xf numFmtId="0" fontId="1" fillId="0" borderId="0" xfId="0" applyFont="1" applyAlignment="1">
      <alignment horizontal="center"/>
    </xf>
    <xf numFmtId="0" fontId="2" fillId="2" borderId="0" xfId="0" applyFont="1" applyFill="1" applyAlignment="1">
      <alignment horizontal="center"/>
    </xf>
    <xf numFmtId="0" fontId="3" fillId="0" borderId="0" xfId="0" applyFont="1" applyAlignment="1">
      <alignment horizontal="center"/>
    </xf>
    <xf numFmtId="164" fontId="3" fillId="0" borderId="0" xfId="0" applyNumberFormat="1" applyFont="1"/>
    <xf numFmtId="0" fontId="3" fillId="0" borderId="0" xfId="0" applyFont="1"/>
    <xf numFmtId="0" fontId="3" fillId="0" borderId="0" xfId="0" quotePrefix="1" applyFont="1"/>
    <xf numFmtId="14" fontId="3" fillId="0" borderId="0" xfId="0" applyNumberFormat="1" applyFont="1"/>
    <xf numFmtId="165" fontId="3" fillId="0" borderId="0" xfId="0" applyNumberFormat="1" applyFont="1"/>
    <xf numFmtId="0" fontId="4" fillId="0" borderId="0" xfId="0" applyFont="1"/>
    <xf numFmtId="0" fontId="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rive.google.com/open?id=1sxNKjTj9d-19iEbj3ZwtDA2ZW9Sgs5gc" TargetMode="External"/><Relationship Id="rId13" Type="http://schemas.openxmlformats.org/officeDocument/2006/relationships/hyperlink" Target="https://drive.google.com/open?id=1LzK31KZMVSdFsdiTlsYsoRvuciLtjO6M" TargetMode="External"/><Relationship Id="rId18" Type="http://schemas.openxmlformats.org/officeDocument/2006/relationships/hyperlink" Target="https://drive.google.com/open?id=1TAFDv-tB8PbANZb2ohXq1rJZ4Ib7eEdI" TargetMode="External"/><Relationship Id="rId3" Type="http://schemas.openxmlformats.org/officeDocument/2006/relationships/hyperlink" Target="https://drive.google.com/open?id=1VqyPSh1QuvN53CoUZVG_PwlpWd_8tkeg" TargetMode="External"/><Relationship Id="rId21" Type="http://schemas.openxmlformats.org/officeDocument/2006/relationships/hyperlink" Target="https://drive.google.com/open?id=1s2JWF9oo-CkgZ7XSm5IDSS63fQIg10cg" TargetMode="External"/><Relationship Id="rId7" Type="http://schemas.openxmlformats.org/officeDocument/2006/relationships/hyperlink" Target="https://maps.app.goo.gl/kp9smGdMzPW4in4GA" TargetMode="External"/><Relationship Id="rId12" Type="http://schemas.openxmlformats.org/officeDocument/2006/relationships/hyperlink" Target="https://maps.app.goo.gl/mk9DydETa3nkCP7B7" TargetMode="External"/><Relationship Id="rId17" Type="http://schemas.openxmlformats.org/officeDocument/2006/relationships/hyperlink" Target="https://maps.app.goo.gl/xyH7X3ajJXxSvQyk6" TargetMode="External"/><Relationship Id="rId2" Type="http://schemas.openxmlformats.org/officeDocument/2006/relationships/hyperlink" Target="https://maps.apple.com/?ll=8.111931,-80.970868&amp;q=Marcador&amp;t=m" TargetMode="External"/><Relationship Id="rId16" Type="http://schemas.openxmlformats.org/officeDocument/2006/relationships/hyperlink" Target="https://drive.google.com/open?id=1h8Vwe3I33Tsj4W_G5isH3eHGa5Omos0l" TargetMode="External"/><Relationship Id="rId20" Type="http://schemas.openxmlformats.org/officeDocument/2006/relationships/hyperlink" Target="https://drive.google.com/open?id=1Q_o4vsgx3kw0BpJF2UhjQqevY-7ugR_X" TargetMode="External"/><Relationship Id="rId1" Type="http://schemas.openxmlformats.org/officeDocument/2006/relationships/hyperlink" Target="https://drive.google.com/open?id=1PBT6sagBs-OD8zHkv-dGMIHL0YUFIrcp" TargetMode="External"/><Relationship Id="rId6" Type="http://schemas.openxmlformats.org/officeDocument/2006/relationships/hyperlink" Target="https://drive.google.com/open?id=1jDQt1GUHKcL2GTBtuJ35Ke7_pYHCb4yX" TargetMode="External"/><Relationship Id="rId11" Type="http://schemas.openxmlformats.org/officeDocument/2006/relationships/hyperlink" Target="https://drive.google.com/open?id=1_IWcuUYVDQ1s-9Uy24RSstWPW7EokfL8" TargetMode="External"/><Relationship Id="rId5" Type="http://schemas.openxmlformats.org/officeDocument/2006/relationships/hyperlink" Target="https://drive.google.com/open?id=127loAtCKA4gZ7f0Tq6mBqZjwQpJnu3q5" TargetMode="External"/><Relationship Id="rId15" Type="http://schemas.openxmlformats.org/officeDocument/2006/relationships/hyperlink" Target="https://drive.google.com/open?id=1iQSzL1Swm2EcGWvpPU_PHUWyCTXsd7IK" TargetMode="External"/><Relationship Id="rId23" Type="http://schemas.openxmlformats.org/officeDocument/2006/relationships/comments" Target="../comments1.xml"/><Relationship Id="rId10" Type="http://schemas.openxmlformats.org/officeDocument/2006/relationships/hyperlink" Target="https://maps.app.goo.gl/mk9DydETa3nkCP7B7" TargetMode="External"/><Relationship Id="rId19" Type="http://schemas.openxmlformats.org/officeDocument/2006/relationships/hyperlink" Target="https://maps.app.goo.gl/xyH7X3ajJXxSvQyk6" TargetMode="External"/><Relationship Id="rId4" Type="http://schemas.openxmlformats.org/officeDocument/2006/relationships/hyperlink" Target="https://www.google.com/maps/search/?api=1&amp;query=33JF%2B652++Santiago++Veraguas+Province++Panama" TargetMode="External"/><Relationship Id="rId9" Type="http://schemas.openxmlformats.org/officeDocument/2006/relationships/hyperlink" Target="https://drive.google.com/open?id=1nINt8LsiABPTLUixwX2GBm9OZPtUnZXC" TargetMode="External"/><Relationship Id="rId14" Type="http://schemas.openxmlformats.org/officeDocument/2006/relationships/hyperlink" Target="https://maps.app.goo.gl/mk9DydETa3nkCP7B7" TargetMode="External"/><Relationship Id="rId22"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X14"/>
  <sheetViews>
    <sheetView tabSelected="1" workbookViewId="0">
      <pane ySplit="1" topLeftCell="A2" activePane="bottomLeft" state="frozen"/>
      <selection pane="bottomLeft" activeCell="A7" sqref="A7:XFD7"/>
    </sheetView>
  </sheetViews>
  <sheetFormatPr baseColWidth="10" defaultColWidth="12.6640625" defaultRowHeight="15.75" customHeight="1" x14ac:dyDescent="0.25"/>
  <cols>
    <col min="1" max="1" width="15.33203125" customWidth="1"/>
    <col min="2" max="2" width="26" customWidth="1"/>
    <col min="3" max="3" width="15.44140625" customWidth="1"/>
    <col min="4" max="4" width="7.6640625" customWidth="1"/>
    <col min="5" max="5" width="14.6640625" customWidth="1"/>
    <col min="6" max="6" width="25.44140625" customWidth="1"/>
    <col min="7" max="7" width="18.88671875" customWidth="1"/>
    <col min="8" max="8" width="16" customWidth="1"/>
    <col min="9" max="9" width="16.109375" customWidth="1"/>
    <col min="10" max="10" width="18.77734375" customWidth="1"/>
    <col min="11" max="11" width="83.44140625" customWidth="1"/>
    <col min="12" max="12" width="10.88671875" customWidth="1"/>
    <col min="13" max="13" width="21" customWidth="1"/>
    <col min="14" max="14" width="18" customWidth="1"/>
    <col min="15" max="15" width="59.21875" customWidth="1"/>
    <col min="16" max="18" width="18.88671875" customWidth="1"/>
    <col min="19" max="19" width="6.44140625" customWidth="1"/>
    <col min="20" max="24" width="18.88671875" customWidth="1"/>
  </cols>
  <sheetData>
    <row r="1" spans="1:24" ht="13.2" x14ac:dyDescent="0.25">
      <c r="A1" s="1" t="s">
        <v>0</v>
      </c>
      <c r="B1" s="1" t="s">
        <v>2</v>
      </c>
      <c r="C1" s="1" t="s">
        <v>3</v>
      </c>
      <c r="D1" s="1" t="s">
        <v>4</v>
      </c>
      <c r="E1" s="1" t="s">
        <v>5</v>
      </c>
      <c r="F1" s="1" t="s">
        <v>6</v>
      </c>
      <c r="G1" s="1" t="s">
        <v>7</v>
      </c>
      <c r="H1" s="1" t="s">
        <v>8</v>
      </c>
      <c r="I1" s="1" t="s">
        <v>9</v>
      </c>
      <c r="J1" s="1" t="s">
        <v>11</v>
      </c>
      <c r="K1" s="1" t="s">
        <v>12</v>
      </c>
      <c r="L1" s="1" t="s">
        <v>13</v>
      </c>
      <c r="M1" s="1" t="s">
        <v>14</v>
      </c>
      <c r="N1" s="1" t="s">
        <v>15</v>
      </c>
      <c r="O1" s="1" t="s">
        <v>16</v>
      </c>
      <c r="P1" s="3" t="s">
        <v>17</v>
      </c>
      <c r="Q1" s="3" t="s">
        <v>16</v>
      </c>
      <c r="R1" s="3" t="s">
        <v>18</v>
      </c>
      <c r="S1" s="1" t="s">
        <v>19</v>
      </c>
      <c r="T1" s="1"/>
      <c r="U1" s="1"/>
      <c r="V1" s="1"/>
      <c r="W1" s="1"/>
      <c r="X1" s="1"/>
    </row>
    <row r="2" spans="1:24" ht="13.2" x14ac:dyDescent="0.25">
      <c r="A2" s="4">
        <v>45548.716112164351</v>
      </c>
      <c r="B2" s="5" t="s">
        <v>20</v>
      </c>
      <c r="C2" s="5" t="s">
        <v>21</v>
      </c>
      <c r="D2" s="5" t="s">
        <v>22</v>
      </c>
      <c r="E2" s="5" t="s">
        <v>23</v>
      </c>
      <c r="F2" s="5" t="s">
        <v>24</v>
      </c>
      <c r="G2" s="6" t="s">
        <v>25</v>
      </c>
      <c r="H2" s="5" t="s">
        <v>26</v>
      </c>
      <c r="I2" s="7">
        <v>45548</v>
      </c>
      <c r="J2" s="5" t="s">
        <v>27</v>
      </c>
      <c r="K2" s="5" t="s">
        <v>28</v>
      </c>
      <c r="L2" s="5" t="s">
        <v>29</v>
      </c>
      <c r="M2" s="5" t="s">
        <v>30</v>
      </c>
      <c r="N2" s="5" t="s">
        <v>31</v>
      </c>
      <c r="O2" s="9" t="s">
        <v>32</v>
      </c>
      <c r="P2" s="5" t="s">
        <v>33</v>
      </c>
      <c r="Q2" s="5"/>
      <c r="R2" s="5"/>
      <c r="T2" s="5" t="s">
        <v>34</v>
      </c>
    </row>
    <row r="3" spans="1:24" ht="13.2" x14ac:dyDescent="0.25">
      <c r="A3" s="4">
        <v>45548.986685405092</v>
      </c>
      <c r="B3" s="5" t="s">
        <v>35</v>
      </c>
      <c r="C3" s="5" t="s">
        <v>36</v>
      </c>
      <c r="D3" s="5" t="s">
        <v>22</v>
      </c>
      <c r="E3" s="5" t="s">
        <v>23</v>
      </c>
      <c r="F3" s="5" t="s">
        <v>37</v>
      </c>
      <c r="G3" s="6" t="s">
        <v>25</v>
      </c>
      <c r="H3" s="5" t="s">
        <v>38</v>
      </c>
      <c r="I3" s="7">
        <v>45547</v>
      </c>
      <c r="J3" s="5" t="s">
        <v>39</v>
      </c>
      <c r="K3" s="9" t="s">
        <v>40</v>
      </c>
      <c r="L3" s="5" t="s">
        <v>41</v>
      </c>
      <c r="M3" s="5" t="s">
        <v>42</v>
      </c>
      <c r="N3" s="5" t="s">
        <v>43</v>
      </c>
      <c r="O3" s="9" t="s">
        <v>44</v>
      </c>
      <c r="P3" s="5" t="s">
        <v>45</v>
      </c>
      <c r="Q3" s="5"/>
      <c r="R3" s="5"/>
      <c r="T3" s="5" t="s">
        <v>34</v>
      </c>
    </row>
    <row r="4" spans="1:24" ht="13.2" x14ac:dyDescent="0.25">
      <c r="A4" s="4">
        <v>45548.999327164347</v>
      </c>
      <c r="B4" s="5" t="s">
        <v>46</v>
      </c>
      <c r="C4" s="5" t="s">
        <v>47</v>
      </c>
      <c r="D4" s="5" t="s">
        <v>22</v>
      </c>
      <c r="E4" s="5" t="s">
        <v>23</v>
      </c>
      <c r="F4" s="5" t="s">
        <v>24</v>
      </c>
      <c r="G4" s="6" t="s">
        <v>25</v>
      </c>
      <c r="H4" s="5" t="s">
        <v>38</v>
      </c>
      <c r="I4" s="7">
        <v>45548</v>
      </c>
      <c r="J4" s="5" t="s">
        <v>48</v>
      </c>
      <c r="K4" s="9" t="s">
        <v>49</v>
      </c>
      <c r="L4" s="5" t="s">
        <v>50</v>
      </c>
      <c r="M4" s="5" t="s">
        <v>51</v>
      </c>
      <c r="N4" s="5" t="s">
        <v>52</v>
      </c>
      <c r="O4" s="9" t="s">
        <v>53</v>
      </c>
      <c r="P4" s="5" t="s">
        <v>54</v>
      </c>
      <c r="Q4" s="5"/>
      <c r="R4" s="5"/>
      <c r="T4" s="5" t="s">
        <v>34</v>
      </c>
    </row>
    <row r="5" spans="1:24" ht="13.2" x14ac:dyDescent="0.25">
      <c r="A5" s="4">
        <v>45551.888598969905</v>
      </c>
      <c r="B5" s="5" t="s">
        <v>55</v>
      </c>
      <c r="C5" s="5" t="s">
        <v>56</v>
      </c>
      <c r="D5" s="5" t="s">
        <v>22</v>
      </c>
      <c r="E5" s="5" t="s">
        <v>23</v>
      </c>
      <c r="F5" s="5" t="s">
        <v>24</v>
      </c>
      <c r="G5" s="5" t="s">
        <v>57</v>
      </c>
      <c r="H5" s="5" t="s">
        <v>38</v>
      </c>
      <c r="I5" s="7">
        <v>45551</v>
      </c>
      <c r="J5" s="5" t="s">
        <v>58</v>
      </c>
      <c r="K5" s="5" t="s">
        <v>59</v>
      </c>
      <c r="L5" s="5" t="s">
        <v>41</v>
      </c>
      <c r="M5" s="5" t="s">
        <v>60</v>
      </c>
      <c r="N5" s="5" t="s">
        <v>61</v>
      </c>
      <c r="O5" s="9" t="s">
        <v>62</v>
      </c>
      <c r="P5" s="5" t="s">
        <v>63</v>
      </c>
      <c r="Q5" s="5"/>
      <c r="R5" s="5"/>
      <c r="T5" s="5" t="s">
        <v>34</v>
      </c>
    </row>
    <row r="6" spans="1:24" ht="13.2" x14ac:dyDescent="0.25">
      <c r="A6" s="4">
        <v>45554.898391296301</v>
      </c>
      <c r="B6" s="5" t="s">
        <v>64</v>
      </c>
      <c r="C6" s="5" t="s">
        <v>65</v>
      </c>
      <c r="D6" s="5" t="s">
        <v>22</v>
      </c>
      <c r="E6" s="5" t="s">
        <v>23</v>
      </c>
      <c r="F6" s="5" t="s">
        <v>24</v>
      </c>
      <c r="G6" s="5" t="s">
        <v>66</v>
      </c>
      <c r="H6" s="5" t="s">
        <v>38</v>
      </c>
      <c r="I6" s="7">
        <v>45550</v>
      </c>
      <c r="J6" s="5" t="s">
        <v>67</v>
      </c>
      <c r="K6" s="10" t="s">
        <v>68</v>
      </c>
      <c r="L6" s="5" t="s">
        <v>29</v>
      </c>
      <c r="M6" s="5" t="s">
        <v>69</v>
      </c>
      <c r="N6" s="5" t="s">
        <v>70</v>
      </c>
      <c r="O6" s="9" t="s">
        <v>71</v>
      </c>
      <c r="P6" s="5" t="s">
        <v>72</v>
      </c>
      <c r="Q6" s="5"/>
      <c r="R6" s="5"/>
      <c r="T6" s="5" t="s">
        <v>34</v>
      </c>
    </row>
    <row r="7" spans="1:24" ht="45.75" customHeight="1" x14ac:dyDescent="0.25">
      <c r="A7" s="4">
        <v>45558.730101944442</v>
      </c>
      <c r="B7" s="5" t="s">
        <v>73</v>
      </c>
      <c r="C7" s="5" t="s">
        <v>74</v>
      </c>
      <c r="D7" s="5" t="s">
        <v>22</v>
      </c>
      <c r="E7" s="5" t="s">
        <v>23</v>
      </c>
      <c r="F7" s="5" t="s">
        <v>24</v>
      </c>
      <c r="G7" s="5" t="s">
        <v>75</v>
      </c>
      <c r="H7" s="5" t="s">
        <v>38</v>
      </c>
      <c r="I7" s="7">
        <v>45552</v>
      </c>
      <c r="J7" s="5" t="s">
        <v>76</v>
      </c>
      <c r="K7" s="5" t="s">
        <v>77</v>
      </c>
      <c r="L7" s="5" t="s">
        <v>50</v>
      </c>
      <c r="M7" s="5" t="s">
        <v>78</v>
      </c>
      <c r="N7" s="5" t="s">
        <v>79</v>
      </c>
      <c r="O7" s="9" t="s">
        <v>80</v>
      </c>
      <c r="P7" s="5" t="s">
        <v>81</v>
      </c>
      <c r="Q7" s="5"/>
      <c r="R7" s="5"/>
      <c r="T7" s="5" t="s">
        <v>34</v>
      </c>
    </row>
    <row r="8" spans="1:24" ht="13.2" x14ac:dyDescent="0.25">
      <c r="A8" s="4">
        <v>45560.356411620371</v>
      </c>
      <c r="B8" s="5" t="s">
        <v>82</v>
      </c>
      <c r="C8" s="5" t="s">
        <v>83</v>
      </c>
      <c r="D8" s="5" t="s">
        <v>22</v>
      </c>
      <c r="E8" s="5" t="s">
        <v>23</v>
      </c>
      <c r="F8" s="5" t="s">
        <v>24</v>
      </c>
      <c r="G8" s="6" t="s">
        <v>84</v>
      </c>
      <c r="H8" s="5" t="s">
        <v>38</v>
      </c>
      <c r="I8" s="7">
        <v>45559</v>
      </c>
      <c r="J8" s="5" t="s">
        <v>85</v>
      </c>
      <c r="K8" s="9" t="s">
        <v>86</v>
      </c>
      <c r="L8" s="5" t="s">
        <v>87</v>
      </c>
      <c r="M8" s="5" t="s">
        <v>88</v>
      </c>
      <c r="N8" s="5" t="s">
        <v>89</v>
      </c>
      <c r="O8" s="9" t="s">
        <v>90</v>
      </c>
      <c r="P8" s="5" t="s">
        <v>91</v>
      </c>
      <c r="Q8" s="5"/>
      <c r="R8" s="5"/>
      <c r="T8" s="5" t="s">
        <v>34</v>
      </c>
    </row>
    <row r="9" spans="1:24" ht="13.2" x14ac:dyDescent="0.25">
      <c r="A9" s="4">
        <v>45560.38764262732</v>
      </c>
      <c r="B9" s="5" t="s">
        <v>82</v>
      </c>
      <c r="C9" s="5" t="s">
        <v>83</v>
      </c>
      <c r="D9" s="5" t="s">
        <v>22</v>
      </c>
      <c r="E9" s="5" t="s">
        <v>23</v>
      </c>
      <c r="F9" s="5" t="s">
        <v>24</v>
      </c>
      <c r="G9" s="6" t="s">
        <v>84</v>
      </c>
      <c r="H9" s="5" t="s">
        <v>38</v>
      </c>
      <c r="I9" s="7">
        <v>45559</v>
      </c>
      <c r="J9" s="5" t="s">
        <v>85</v>
      </c>
      <c r="K9" s="9" t="s">
        <v>86</v>
      </c>
      <c r="L9" s="5" t="s">
        <v>87</v>
      </c>
      <c r="M9" s="5" t="s">
        <v>30</v>
      </c>
      <c r="N9" s="5" t="s">
        <v>92</v>
      </c>
      <c r="O9" s="9" t="s">
        <v>93</v>
      </c>
      <c r="P9" s="5" t="s">
        <v>91</v>
      </c>
      <c r="Q9" s="5"/>
      <c r="R9" s="5"/>
      <c r="T9" s="5" t="s">
        <v>34</v>
      </c>
    </row>
    <row r="10" spans="1:24" ht="13.2" x14ac:dyDescent="0.25">
      <c r="A10" s="4">
        <v>45560.391672905098</v>
      </c>
      <c r="B10" s="5" t="s">
        <v>82</v>
      </c>
      <c r="C10" s="5" t="s">
        <v>83</v>
      </c>
      <c r="D10" s="5" t="s">
        <v>22</v>
      </c>
      <c r="E10" s="5" t="s">
        <v>23</v>
      </c>
      <c r="F10" s="5" t="s">
        <v>24</v>
      </c>
      <c r="G10" s="6" t="s">
        <v>84</v>
      </c>
      <c r="H10" s="5" t="s">
        <v>38</v>
      </c>
      <c r="I10" s="7">
        <v>45559</v>
      </c>
      <c r="J10" s="5" t="s">
        <v>85</v>
      </c>
      <c r="K10" s="9" t="s">
        <v>86</v>
      </c>
      <c r="L10" s="5" t="s">
        <v>29</v>
      </c>
      <c r="M10" s="5" t="s">
        <v>30</v>
      </c>
      <c r="N10" s="5" t="s">
        <v>92</v>
      </c>
      <c r="O10" s="9" t="s">
        <v>94</v>
      </c>
      <c r="P10" s="5" t="s">
        <v>91</v>
      </c>
      <c r="Q10" s="5"/>
      <c r="R10" s="5"/>
      <c r="T10" s="5" t="s">
        <v>34</v>
      </c>
    </row>
    <row r="11" spans="1:24" ht="13.2" x14ac:dyDescent="0.25">
      <c r="A11" s="4">
        <v>45560.745229050925</v>
      </c>
      <c r="B11" s="5" t="s">
        <v>95</v>
      </c>
      <c r="C11" s="5" t="s">
        <v>96</v>
      </c>
      <c r="D11" s="5" t="s">
        <v>22</v>
      </c>
      <c r="E11" s="5" t="s">
        <v>23</v>
      </c>
      <c r="F11" s="5" t="s">
        <v>37</v>
      </c>
      <c r="G11" s="5" t="s">
        <v>97</v>
      </c>
      <c r="H11" s="5" t="s">
        <v>38</v>
      </c>
      <c r="I11" s="7">
        <v>45560</v>
      </c>
      <c r="J11" s="5" t="s">
        <v>98</v>
      </c>
      <c r="K11" s="5" t="s">
        <v>99</v>
      </c>
      <c r="L11" s="5" t="s">
        <v>100</v>
      </c>
      <c r="M11" s="5" t="s">
        <v>101</v>
      </c>
      <c r="N11" s="5" t="s">
        <v>102</v>
      </c>
      <c r="O11" s="9" t="s">
        <v>103</v>
      </c>
      <c r="P11" s="5" t="s">
        <v>104</v>
      </c>
      <c r="Q11" s="5"/>
      <c r="R11" s="5"/>
      <c r="T11" s="5" t="s">
        <v>34</v>
      </c>
    </row>
    <row r="12" spans="1:24" ht="13.2" x14ac:dyDescent="0.25">
      <c r="A12" s="4">
        <v>45563.602446412042</v>
      </c>
      <c r="B12" s="5" t="s">
        <v>105</v>
      </c>
      <c r="C12" s="5" t="s">
        <v>106</v>
      </c>
      <c r="D12" s="5" t="s">
        <v>22</v>
      </c>
      <c r="E12" s="5" t="s">
        <v>107</v>
      </c>
      <c r="H12" s="5" t="s">
        <v>38</v>
      </c>
      <c r="I12" s="7">
        <v>45559</v>
      </c>
      <c r="J12" s="5" t="s">
        <v>108</v>
      </c>
      <c r="K12" s="9" t="s">
        <v>109</v>
      </c>
      <c r="L12" s="5" t="s">
        <v>50</v>
      </c>
      <c r="M12" s="5" t="s">
        <v>110</v>
      </c>
      <c r="N12" s="5" t="s">
        <v>111</v>
      </c>
      <c r="O12" s="9" t="s">
        <v>112</v>
      </c>
      <c r="P12" s="5" t="s">
        <v>113</v>
      </c>
      <c r="Q12" s="5"/>
      <c r="R12" s="5"/>
      <c r="T12" s="5" t="s">
        <v>34</v>
      </c>
    </row>
    <row r="13" spans="1:24" ht="13.2" x14ac:dyDescent="0.25">
      <c r="A13" s="4">
        <v>45563.613769861113</v>
      </c>
      <c r="B13" s="5" t="s">
        <v>105</v>
      </c>
      <c r="C13" s="5" t="s">
        <v>106</v>
      </c>
      <c r="D13" s="5" t="s">
        <v>22</v>
      </c>
      <c r="E13" s="5" t="s">
        <v>107</v>
      </c>
      <c r="H13" s="5" t="s">
        <v>38</v>
      </c>
      <c r="I13" s="7">
        <v>45559</v>
      </c>
      <c r="J13" s="5" t="s">
        <v>114</v>
      </c>
      <c r="K13" s="9" t="s">
        <v>109</v>
      </c>
      <c r="L13" s="5" t="s">
        <v>50</v>
      </c>
      <c r="M13" s="5" t="s">
        <v>110</v>
      </c>
      <c r="N13" s="5" t="s">
        <v>111</v>
      </c>
      <c r="O13" s="9" t="s">
        <v>115</v>
      </c>
      <c r="P13" s="5" t="s">
        <v>113</v>
      </c>
      <c r="Q13" s="5"/>
      <c r="R13" s="5"/>
      <c r="T13" s="5" t="s">
        <v>34</v>
      </c>
    </row>
    <row r="14" spans="1:24" ht="13.2" x14ac:dyDescent="0.25">
      <c r="A14" s="4">
        <v>45728.712850856478</v>
      </c>
      <c r="B14" s="5" t="s">
        <v>116</v>
      </c>
      <c r="C14" s="5" t="s">
        <v>117</v>
      </c>
      <c r="D14" s="5" t="s">
        <v>22</v>
      </c>
      <c r="E14" s="5" t="s">
        <v>23</v>
      </c>
      <c r="F14" s="5" t="s">
        <v>37</v>
      </c>
      <c r="G14" s="6" t="s">
        <v>118</v>
      </c>
      <c r="H14" s="5" t="s">
        <v>38</v>
      </c>
      <c r="I14" s="7">
        <v>45693</v>
      </c>
      <c r="J14" s="5" t="s">
        <v>119</v>
      </c>
      <c r="K14" s="5" t="s">
        <v>120</v>
      </c>
      <c r="L14" s="5" t="s">
        <v>121</v>
      </c>
      <c r="M14" s="5" t="s">
        <v>122</v>
      </c>
      <c r="N14" s="5" t="s">
        <v>123</v>
      </c>
      <c r="O14" s="9" t="s">
        <v>124</v>
      </c>
      <c r="P14" s="5" t="s">
        <v>125</v>
      </c>
      <c r="Q14" s="5"/>
      <c r="R14" s="5"/>
    </row>
  </sheetData>
  <hyperlinks>
    <hyperlink ref="O2" r:id="rId1" xr:uid="{00000000-0004-0000-0000-000000000000}"/>
    <hyperlink ref="K3" r:id="rId2" xr:uid="{00000000-0004-0000-0000-000001000000}"/>
    <hyperlink ref="O3" r:id="rId3" xr:uid="{00000000-0004-0000-0000-000002000000}"/>
    <hyperlink ref="K4" r:id="rId4" xr:uid="{00000000-0004-0000-0000-000003000000}"/>
    <hyperlink ref="O4" r:id="rId5" xr:uid="{00000000-0004-0000-0000-000004000000}"/>
    <hyperlink ref="O5" r:id="rId6" xr:uid="{00000000-0004-0000-0000-000005000000}"/>
    <hyperlink ref="K6" r:id="rId7" xr:uid="{00000000-0004-0000-0000-000006000000}"/>
    <hyperlink ref="O6" r:id="rId8" xr:uid="{00000000-0004-0000-0000-000007000000}"/>
    <hyperlink ref="O7" r:id="rId9" xr:uid="{00000000-0004-0000-0000-000008000000}"/>
    <hyperlink ref="K8" r:id="rId10" xr:uid="{00000000-0004-0000-0000-000009000000}"/>
    <hyperlink ref="O8" r:id="rId11" xr:uid="{00000000-0004-0000-0000-00000A000000}"/>
    <hyperlink ref="K9" r:id="rId12" xr:uid="{00000000-0004-0000-0000-00000B000000}"/>
    <hyperlink ref="O9" r:id="rId13" xr:uid="{00000000-0004-0000-0000-00000C000000}"/>
    <hyperlink ref="K10" r:id="rId14" xr:uid="{00000000-0004-0000-0000-00000D000000}"/>
    <hyperlink ref="O10" r:id="rId15" xr:uid="{00000000-0004-0000-0000-00000E000000}"/>
    <hyperlink ref="O11" r:id="rId16" xr:uid="{00000000-0004-0000-0000-00000F000000}"/>
    <hyperlink ref="K12" r:id="rId17" xr:uid="{00000000-0004-0000-0000-000010000000}"/>
    <hyperlink ref="O12" r:id="rId18" xr:uid="{00000000-0004-0000-0000-000011000000}"/>
    <hyperlink ref="K13" r:id="rId19" xr:uid="{00000000-0004-0000-0000-000012000000}"/>
    <hyperlink ref="O13" r:id="rId20" xr:uid="{00000000-0004-0000-0000-000013000000}"/>
    <hyperlink ref="O14" r:id="rId21" xr:uid="{00000000-0004-0000-0000-000014000000}"/>
  </hyperlinks>
  <pageMargins left="0.7" right="0.7" top="0.75" bottom="0.75" header="0.3" footer="0.3"/>
  <legacyDrawing r:id="rId2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G18"/>
  <sheetViews>
    <sheetView workbookViewId="0"/>
  </sheetViews>
  <sheetFormatPr baseColWidth="10" defaultColWidth="12.6640625" defaultRowHeight="15.75" customHeight="1" x14ac:dyDescent="0.25"/>
  <cols>
    <col min="1" max="1" width="22" customWidth="1"/>
    <col min="2" max="2" width="17" customWidth="1"/>
    <col min="3" max="3" width="19" customWidth="1"/>
    <col min="4" max="4" width="20.21875" customWidth="1"/>
    <col min="5" max="5" width="22.77734375" customWidth="1"/>
    <col min="6" max="6" width="11.77734375" customWidth="1"/>
    <col min="7" max="7" width="55.33203125" customWidth="1"/>
  </cols>
  <sheetData>
    <row r="1" spans="1:7" x14ac:dyDescent="0.25">
      <c r="A1" s="2" t="s">
        <v>1</v>
      </c>
      <c r="B1" s="2" t="s">
        <v>10</v>
      </c>
      <c r="C1" s="2" t="s">
        <v>9</v>
      </c>
      <c r="D1" s="2" t="s">
        <v>11</v>
      </c>
      <c r="E1" s="2" t="s">
        <v>12</v>
      </c>
      <c r="F1" s="2" t="s">
        <v>13</v>
      </c>
      <c r="G1" s="2" t="s">
        <v>16</v>
      </c>
    </row>
    <row r="2" spans="1:7" x14ac:dyDescent="0.25">
      <c r="A2" s="5" t="e">
        <f t="shared" ref="A2:G2" si="0">#REF!</f>
        <v>#REF!</v>
      </c>
      <c r="B2" s="5" t="e">
        <f t="shared" si="0"/>
        <v>#REF!</v>
      </c>
      <c r="C2" s="8" t="e">
        <f t="shared" si="0"/>
        <v>#REF!</v>
      </c>
      <c r="D2" s="5" t="e">
        <f t="shared" si="0"/>
        <v>#REF!</v>
      </c>
      <c r="E2" s="5" t="e">
        <f t="shared" si="0"/>
        <v>#REF!</v>
      </c>
      <c r="F2" s="5" t="e">
        <f t="shared" si="0"/>
        <v>#REF!</v>
      </c>
      <c r="G2" s="5" t="e">
        <f t="shared" si="0"/>
        <v>#REF!</v>
      </c>
    </row>
    <row r="3" spans="1:7" x14ac:dyDescent="0.25">
      <c r="A3" s="5" t="e">
        <f t="shared" ref="A3:F3" si="1">#REF!</f>
        <v>#REF!</v>
      </c>
      <c r="B3" s="5" t="e">
        <f t="shared" si="1"/>
        <v>#REF!</v>
      </c>
      <c r="C3" s="5" t="e">
        <f t="shared" si="1"/>
        <v>#REF!</v>
      </c>
      <c r="D3" s="5" t="e">
        <f t="shared" si="1"/>
        <v>#REF!</v>
      </c>
      <c r="E3" s="5" t="e">
        <f t="shared" si="1"/>
        <v>#REF!</v>
      </c>
      <c r="F3" s="5" t="e">
        <f t="shared" si="1"/>
        <v>#REF!</v>
      </c>
    </row>
    <row r="4" spans="1:7" x14ac:dyDescent="0.25">
      <c r="A4" s="5" t="e">
        <f t="shared" ref="A4:F4" si="2">#REF!</f>
        <v>#REF!</v>
      </c>
      <c r="B4" s="5" t="e">
        <f t="shared" si="2"/>
        <v>#REF!</v>
      </c>
      <c r="C4" s="5" t="e">
        <f t="shared" si="2"/>
        <v>#REF!</v>
      </c>
      <c r="D4" s="5" t="e">
        <f t="shared" si="2"/>
        <v>#REF!</v>
      </c>
      <c r="E4" s="5" t="e">
        <f t="shared" si="2"/>
        <v>#REF!</v>
      </c>
      <c r="F4" s="5" t="e">
        <f t="shared" si="2"/>
        <v>#REF!</v>
      </c>
    </row>
    <row r="5" spans="1:7" x14ac:dyDescent="0.25">
      <c r="A5" s="5">
        <f>Siembras!C15</f>
        <v>0</v>
      </c>
    </row>
    <row r="6" spans="1:7" x14ac:dyDescent="0.25">
      <c r="A6" s="5">
        <f>Siembras!C16</f>
        <v>0</v>
      </c>
    </row>
    <row r="7" spans="1:7" x14ac:dyDescent="0.25">
      <c r="A7" s="5">
        <f>Siembras!C17</f>
        <v>0</v>
      </c>
    </row>
    <row r="8" spans="1:7" x14ac:dyDescent="0.25">
      <c r="A8" s="5">
        <f>Siembras!C18</f>
        <v>0</v>
      </c>
    </row>
    <row r="9" spans="1:7" x14ac:dyDescent="0.25">
      <c r="A9" s="5">
        <f>Siembras!C19</f>
        <v>0</v>
      </c>
    </row>
    <row r="10" spans="1:7" x14ac:dyDescent="0.25">
      <c r="A10" s="5">
        <f>Siembras!C20</f>
        <v>0</v>
      </c>
    </row>
    <row r="11" spans="1:7" x14ac:dyDescent="0.25">
      <c r="A11" s="5">
        <f>Siembras!C21</f>
        <v>0</v>
      </c>
    </row>
    <row r="12" spans="1:7" x14ac:dyDescent="0.25">
      <c r="A12" s="5">
        <f>Siembras!C22</f>
        <v>0</v>
      </c>
    </row>
    <row r="13" spans="1:7" x14ac:dyDescent="0.25">
      <c r="A13" s="5">
        <f>Siembras!C23</f>
        <v>0</v>
      </c>
    </row>
    <row r="14" spans="1:7" x14ac:dyDescent="0.25">
      <c r="A14" s="5">
        <f>Siembras!C24</f>
        <v>0</v>
      </c>
    </row>
    <row r="15" spans="1:7" x14ac:dyDescent="0.25">
      <c r="A15" s="5">
        <f>Siembras!C25</f>
        <v>0</v>
      </c>
    </row>
    <row r="16" spans="1:7" x14ac:dyDescent="0.25">
      <c r="A16" s="5">
        <f>Siembras!C26</f>
        <v>0</v>
      </c>
    </row>
    <row r="17" spans="1:1" x14ac:dyDescent="0.25">
      <c r="A17" s="5">
        <f>Siembras!C27</f>
        <v>0</v>
      </c>
    </row>
    <row r="18" spans="1:1" x14ac:dyDescent="0.25">
      <c r="A18" s="5">
        <f>Siembras!C28</f>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Siembras</vt:lpstr>
      <vt:lpstr>Web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Fernando Barria</cp:lastModifiedBy>
  <dcterms:modified xsi:type="dcterms:W3CDTF">2026-09-18T19:18:07Z</dcterms:modified>
</cp:coreProperties>
</file>